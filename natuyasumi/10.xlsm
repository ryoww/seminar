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9\pi\seminar\"/>
    </mc:Choice>
  </mc:AlternateContent>
  <xr:revisionPtr revIDLastSave="6" documentId="13_ncr:1_{4125814D-9131-4B83-A8D9-1C4062B8D618}" xr6:coauthVersionLast="47" xr6:coauthVersionMax="47" xr10:uidLastSave="{C1E46A24-C2C2-7642-B578-8F54F707B0B4}"/>
  <bookViews>
    <workbookView xWindow="-120" yWindow="-120" windowWidth="38640" windowHeight="21120" activeTab="1" xr2:uid="{E8BABB48-487C-4074-B3EB-6A9044ADCA89}"/>
  </bookViews>
  <sheets>
    <sheet name="802.11ag" sheetId="1" r:id="rId1"/>
    <sheet name="802.11b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" l="1"/>
  <c r="I6" i="2"/>
  <c r="H6" i="2"/>
  <c r="G6" i="2"/>
  <c r="F6" i="2"/>
  <c r="D6" i="2"/>
  <c r="O16" i="2"/>
  <c r="O14" i="2"/>
  <c r="O12" i="2"/>
  <c r="O10" i="2"/>
  <c r="O8" i="2"/>
  <c r="O7" i="2"/>
  <c r="N6" i="2"/>
  <c r="M16" i="2"/>
  <c r="M14" i="2"/>
  <c r="M12" i="2"/>
  <c r="M10" i="2"/>
  <c r="M8" i="2"/>
  <c r="M7" i="2"/>
  <c r="K7" i="2"/>
  <c r="K8" i="2"/>
  <c r="L8" i="2"/>
  <c r="M5" i="1"/>
  <c r="M12" i="1"/>
  <c r="M11" i="1"/>
  <c r="M10" i="1"/>
  <c r="M9" i="1"/>
  <c r="M8" i="1"/>
  <c r="M7" i="1"/>
  <c r="M6" i="1"/>
  <c r="J12" i="1"/>
  <c r="J11" i="1"/>
  <c r="J10" i="1"/>
  <c r="J9" i="1"/>
  <c r="J8" i="1"/>
  <c r="J7" i="1"/>
  <c r="J6" i="1"/>
  <c r="J5" i="1"/>
  <c r="D7" i="2"/>
  <c r="E7" i="2"/>
  <c r="F7" i="2"/>
  <c r="G7" i="2"/>
  <c r="H7" i="2"/>
  <c r="I7" i="2"/>
  <c r="D8" i="2"/>
  <c r="E8" i="2"/>
  <c r="F8" i="2"/>
  <c r="J8" i="2"/>
  <c r="G8" i="2"/>
  <c r="H8" i="2"/>
  <c r="I8" i="2"/>
  <c r="D9" i="2"/>
  <c r="E9" i="2"/>
  <c r="F9" i="2"/>
  <c r="G9" i="2"/>
  <c r="H9" i="2"/>
  <c r="I9" i="2"/>
  <c r="D10" i="2"/>
  <c r="E10" i="2"/>
  <c r="F10" i="2"/>
  <c r="G10" i="2"/>
  <c r="H10" i="2"/>
  <c r="I10" i="2"/>
  <c r="D11" i="2"/>
  <c r="E11" i="2"/>
  <c r="F11" i="2"/>
  <c r="G11" i="2"/>
  <c r="H11" i="2"/>
  <c r="I11" i="2"/>
  <c r="D12" i="2"/>
  <c r="J12" i="2"/>
  <c r="E12" i="2"/>
  <c r="K12" i="2"/>
  <c r="F12" i="2"/>
  <c r="G12" i="2"/>
  <c r="H12" i="2"/>
  <c r="I12" i="2"/>
  <c r="D13" i="2"/>
  <c r="E13" i="2"/>
  <c r="F13" i="2"/>
  <c r="G13" i="2"/>
  <c r="H13" i="2"/>
  <c r="I13" i="2"/>
  <c r="D14" i="2"/>
  <c r="E14" i="2"/>
  <c r="K14" i="2"/>
  <c r="F14" i="2"/>
  <c r="G14" i="2"/>
  <c r="H14" i="2"/>
  <c r="I14" i="2"/>
  <c r="D15" i="2"/>
  <c r="E15" i="2"/>
  <c r="F15" i="2"/>
  <c r="G15" i="2"/>
  <c r="H15" i="2"/>
  <c r="I15" i="2"/>
  <c r="D16" i="2"/>
  <c r="E16" i="2"/>
  <c r="K16" i="2"/>
  <c r="F16" i="2"/>
  <c r="G16" i="2"/>
  <c r="H16" i="2"/>
  <c r="I16" i="2"/>
  <c r="E6" i="2"/>
  <c r="C7" i="2"/>
  <c r="C8" i="2"/>
  <c r="C9" i="2"/>
  <c r="C10" i="2"/>
  <c r="C11" i="2"/>
  <c r="C12" i="2"/>
  <c r="C13" i="2"/>
  <c r="C14" i="2"/>
  <c r="C15" i="2"/>
  <c r="C6" i="2"/>
  <c r="H5" i="1"/>
  <c r="F19" i="2"/>
  <c r="E19" i="2"/>
  <c r="J14" i="2"/>
  <c r="C24" i="2"/>
  <c r="N16" i="2"/>
  <c r="C23" i="2"/>
  <c r="L6" i="2"/>
  <c r="L12" i="2"/>
  <c r="L14" i="2"/>
  <c r="N8" i="2"/>
  <c r="N12" i="2"/>
  <c r="N10" i="2"/>
  <c r="N14" i="2"/>
  <c r="J16" i="2"/>
  <c r="L16" i="2"/>
  <c r="J10" i="2"/>
  <c r="K10" i="2"/>
  <c r="L10" i="2"/>
  <c r="I6" i="1"/>
  <c r="I5" i="1"/>
  <c r="L5" i="1"/>
  <c r="K5" i="1"/>
  <c r="L12" i="1"/>
  <c r="L11" i="1"/>
  <c r="L10" i="1"/>
  <c r="L9" i="1"/>
  <c r="L8" i="1"/>
  <c r="L7" i="1"/>
  <c r="L6" i="1"/>
  <c r="K12" i="1"/>
  <c r="K11" i="1"/>
  <c r="K10" i="1"/>
  <c r="K9" i="1"/>
  <c r="K8" i="1"/>
  <c r="K7" i="1"/>
  <c r="K6" i="1"/>
  <c r="D23" i="1"/>
  <c r="D22" i="1"/>
  <c r="E12" i="1"/>
  <c r="E11" i="1"/>
  <c r="E10" i="1"/>
  <c r="G12" i="1"/>
  <c r="F5" i="1"/>
  <c r="H20" i="1"/>
  <c r="G20" i="1"/>
  <c r="G17" i="1"/>
  <c r="G11" i="1"/>
  <c r="G10" i="1"/>
  <c r="G9" i="1"/>
  <c r="G8" i="1"/>
  <c r="G7" i="1"/>
  <c r="G6" i="1"/>
  <c r="G5" i="1"/>
  <c r="F12" i="1"/>
  <c r="F11" i="1"/>
  <c r="F10" i="1"/>
  <c r="F9" i="1"/>
  <c r="F8" i="1"/>
  <c r="F7" i="1"/>
  <c r="F6" i="1"/>
  <c r="E5" i="1"/>
  <c r="E9" i="1"/>
  <c r="E8" i="1"/>
  <c r="E7" i="1"/>
  <c r="E6" i="1"/>
  <c r="I7" i="1"/>
  <c r="H7" i="1"/>
  <c r="H10" i="1"/>
  <c r="H12" i="1"/>
  <c r="H8" i="1"/>
  <c r="H11" i="1"/>
  <c r="H9" i="1"/>
  <c r="H6" i="1"/>
  <c r="I8" i="1"/>
  <c r="I9" i="1"/>
  <c r="I10" i="1"/>
  <c r="I11" i="1"/>
  <c r="I12" i="1"/>
</calcChain>
</file>

<file path=xl/sharedStrings.xml><?xml version="1.0" encoding="utf-8"?>
<sst xmlns="http://schemas.openxmlformats.org/spreadsheetml/2006/main" count="77" uniqueCount="37">
  <si>
    <t>PLCPヘッダ(シグナル)</t>
    <phoneticPr fontId="1"/>
  </si>
  <si>
    <t>PLCPヘッダ(サービス)</t>
    <phoneticPr fontId="1"/>
  </si>
  <si>
    <t>802.11ACKフレーム</t>
    <phoneticPr fontId="1"/>
  </si>
  <si>
    <t>FCS</t>
    <phoneticPr fontId="1"/>
  </si>
  <si>
    <t>tail</t>
    <phoneticPr fontId="1"/>
  </si>
  <si>
    <t>OFDMシンボルごとのデータビット</t>
    <phoneticPr fontId="1"/>
  </si>
  <si>
    <t>ACKフレーム長</t>
    <rPh sb="7" eb="8">
      <t>チョウ</t>
    </rPh>
    <phoneticPr fontId="1"/>
  </si>
  <si>
    <t>[μs]</t>
  </si>
  <si>
    <t>[μs]</t>
    <phoneticPr fontId="1"/>
  </si>
  <si>
    <t>データフレーム長</t>
    <rPh sb="7" eb="8">
      <t>チョウ</t>
    </rPh>
    <phoneticPr fontId="1"/>
  </si>
  <si>
    <t>（TCP-ACK）[μs]</t>
    <phoneticPr fontId="1"/>
  </si>
  <si>
    <t>802.11MACヘッダ</t>
    <phoneticPr fontId="1"/>
  </si>
  <si>
    <t>IPパケット</t>
    <phoneticPr fontId="1"/>
  </si>
  <si>
    <t>LLCヘッダ</t>
    <phoneticPr fontId="1"/>
  </si>
  <si>
    <t>TCP-ACKパケット</t>
    <phoneticPr fontId="1"/>
  </si>
  <si>
    <t>802.11/a</t>
    <phoneticPr fontId="1"/>
  </si>
  <si>
    <t>SIFS</t>
    <phoneticPr fontId="1"/>
  </si>
  <si>
    <t>バックオフ制御時間</t>
    <rPh sb="5" eb="9">
      <t>セイギョジカン</t>
    </rPh>
    <phoneticPr fontId="1"/>
  </si>
  <si>
    <t>802.11/g</t>
    <phoneticPr fontId="1"/>
  </si>
  <si>
    <t>バックオフst=20</t>
    <phoneticPr fontId="1"/>
  </si>
  <si>
    <t>バックオフsst=9</t>
    <phoneticPr fontId="1"/>
  </si>
  <si>
    <t>PLCPプリアンブル[μs]</t>
    <phoneticPr fontId="1"/>
  </si>
  <si>
    <t>802.11gのスループット</t>
    <phoneticPr fontId="1"/>
  </si>
  <si>
    <t>Mbps</t>
    <phoneticPr fontId="1"/>
  </si>
  <si>
    <t>802.11aのスループット</t>
    <phoneticPr fontId="1"/>
  </si>
  <si>
    <t>IP</t>
    <phoneticPr fontId="1"/>
  </si>
  <si>
    <t>UDP</t>
    <phoneticPr fontId="1"/>
  </si>
  <si>
    <t>TCP</t>
    <phoneticPr fontId="1"/>
  </si>
  <si>
    <t>TCPペイロード</t>
    <phoneticPr fontId="1"/>
  </si>
  <si>
    <t>UDPペイロード</t>
    <phoneticPr fontId="1"/>
  </si>
  <si>
    <t>伝送レート[Mbps]</t>
    <rPh sb="0" eb="2">
      <t>デンソウ</t>
    </rPh>
    <phoneticPr fontId="1"/>
  </si>
  <si>
    <t>データビット[bit]</t>
    <phoneticPr fontId="1"/>
  </si>
  <si>
    <t>802.11/b</t>
    <phoneticPr fontId="1"/>
  </si>
  <si>
    <t>PLCPヘッダ</t>
    <phoneticPr fontId="1"/>
  </si>
  <si>
    <t>ロング</t>
    <phoneticPr fontId="1"/>
  </si>
  <si>
    <t>ショート</t>
    <phoneticPr fontId="1"/>
  </si>
  <si>
    <t>データフレーム長TCPACK</t>
    <rPh sb="7" eb="8">
      <t>チョウ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</si>
</sst>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'802.11ag'!$H$5:$H$12</c:f>
              <c:numCache>
                <c:formatCode>General</c:formatCode>
                <c:ptCount val="8"/>
                <c:pt idx="0">
                  <c:v>5.3727333781061111</c:v>
                </c:pt>
                <c:pt idx="1">
                  <c:v>7.784625364904314</c:v>
                </c:pt>
                <c:pt idx="2">
                  <c:v>10.020876826722338</c:v>
                </c:pt>
                <c:pt idx="3">
                  <c:v>14.125956444967628</c:v>
                </c:pt>
                <c:pt idx="4">
                  <c:v>17.608217168011738</c:v>
                </c:pt>
                <c:pt idx="5">
                  <c:v>23.73887240356083</c:v>
                </c:pt>
                <c:pt idx="6">
                  <c:v>28.469750889679716</c:v>
                </c:pt>
                <c:pt idx="7">
                  <c:v>30.808729139922978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64-4FCD-BB53-B2964FD5EC26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'802.11ag'!$I$5:$I$12</c:f>
              <c:numCache>
                <c:formatCode>General</c:formatCode>
                <c:ptCount val="8"/>
                <c:pt idx="0">
                  <c:v>5.2724423550481303</c:v>
                </c:pt>
                <c:pt idx="1">
                  <c:v>7.6393123580927664</c:v>
                </c:pt>
                <c:pt idx="2">
                  <c:v>9.8338204592901874</c:v>
                </c:pt>
                <c:pt idx="3">
                  <c:v>13.862271924661565</c:v>
                </c:pt>
                <c:pt idx="4">
                  <c:v>17.279530447542186</c:v>
                </c:pt>
                <c:pt idx="5">
                  <c:v>23.295746785361029</c:v>
                </c:pt>
                <c:pt idx="6">
                  <c:v>27.938315539739026</c:v>
                </c:pt>
                <c:pt idx="7">
                  <c:v>30.233632862644416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64-4FCD-BB53-B2964FD5EC26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'802.11ag'!$J$5:$J$12</c:f>
              <c:numCache>
                <c:formatCode>General</c:formatCode>
                <c:ptCount val="8"/>
                <c:pt idx="0">
                  <c:v>4.9049868766404199</c:v>
                </c:pt>
                <c:pt idx="1">
                  <c:v>7.0055480581796372</c:v>
                </c:pt>
                <c:pt idx="2">
                  <c:v>8.8939653531315432</c:v>
                </c:pt>
                <c:pt idx="3">
                  <c:v>12.252819302386571</c:v>
                </c:pt>
                <c:pt idx="4">
                  <c:v>14.9504</c:v>
                </c:pt>
                <c:pt idx="5">
                  <c:v>19.491030454735085</c:v>
                </c:pt>
                <c:pt idx="6">
                  <c:v>22.75694106186069</c:v>
                </c:pt>
                <c:pt idx="7">
                  <c:v>24.270129870129871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64-4FCD-BB53-B2964FD5E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258703"/>
        <c:axId val="448261583"/>
      </c:scatterChart>
      <c:valAx>
        <c:axId val="44825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伝送レート</a:t>
                </a:r>
                <a:r>
                  <a:rPr lang="en-US" altLang="ja-JP"/>
                  <a:t>[Mbps</a:t>
                </a:r>
                <a:r>
                  <a:rPr lang="ja-JP" altLang="en-US" sz="1000" b="0" i="0" u="none" strike="noStrike" baseline="0"/>
                  <a:t> </a:t>
                </a:r>
                <a:r>
                  <a:rPr lang="en-US" altLang="ja-JP"/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8261583"/>
        <c:crosses val="autoZero"/>
        <c:crossBetween val="midCat"/>
        <c:majorUnit val="6"/>
      </c:valAx>
      <c:valAx>
        <c:axId val="4482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[Mbps]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825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'802.11ag'!$K$5:$K$12</c:f>
              <c:numCache>
                <c:formatCode>General</c:formatCode>
                <c:ptCount val="8"/>
                <c:pt idx="0">
                  <c:v>5.1325919589392646</c:v>
                </c:pt>
                <c:pt idx="1">
                  <c:v>7.2904009720534626</c:v>
                </c:pt>
                <c:pt idx="2">
                  <c:v>9.2165898617511512</c:v>
                </c:pt>
                <c:pt idx="3">
                  <c:v>12.578616352201259</c:v>
                </c:pt>
                <c:pt idx="4">
                  <c:v>15.267175572519085</c:v>
                </c:pt>
                <c:pt idx="5">
                  <c:v>19.672131147540984</c:v>
                </c:pt>
                <c:pt idx="6">
                  <c:v>22.813688212927758</c:v>
                </c:pt>
                <c:pt idx="7">
                  <c:v>24.291497975708502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8-4468-9CAF-5338BCE1832E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'802.11ag'!$L$5:$L$12</c:f>
              <c:numCache>
                <c:formatCode>General</c:formatCode>
                <c:ptCount val="8"/>
                <c:pt idx="0">
                  <c:v>5.0367835757057318</c:v>
                </c:pt>
                <c:pt idx="1">
                  <c:v>7.1543134872417982</c:v>
                </c:pt>
                <c:pt idx="2">
                  <c:v>9.0445468509984632</c:v>
                </c:pt>
                <c:pt idx="3">
                  <c:v>12.343815513626835</c:v>
                </c:pt>
                <c:pt idx="4">
                  <c:v>14.982188295165395</c:v>
                </c:pt>
                <c:pt idx="5">
                  <c:v>19.304918032786887</c:v>
                </c:pt>
                <c:pt idx="6">
                  <c:v>22.387832699619771</c:v>
                </c:pt>
                <c:pt idx="7">
                  <c:v>23.838056680161944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8-4468-9CAF-5338BCE1832E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'802.11ag'!$M$5:$M$12</c:f>
              <c:numCache>
                <c:formatCode>General</c:formatCode>
                <c:ptCount val="8"/>
                <c:pt idx="0">
                  <c:v>4.607495069033531</c:v>
                </c:pt>
                <c:pt idx="1">
                  <c:v>6.4140582097748489</c:v>
                </c:pt>
                <c:pt idx="2">
                  <c:v>7.9618268575323787</c:v>
                </c:pt>
                <c:pt idx="3">
                  <c:v>10.55103884372177</c:v>
                </c:pt>
                <c:pt idx="4">
                  <c:v>12.491978609625669</c:v>
                </c:pt>
                <c:pt idx="5">
                  <c:v>15.51128818061089</c:v>
                </c:pt>
                <c:pt idx="6">
                  <c:v>17.511244377811096</c:v>
                </c:pt>
                <c:pt idx="7">
                  <c:v>18.393700787401574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68-4468-9CAF-5338BCE18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62160"/>
        <c:axId val="469961200"/>
      </c:scatterChart>
      <c:valAx>
        <c:axId val="46996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伝送レート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[Mbps</a:t>
                </a: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961200"/>
        <c:crosses val="autoZero"/>
        <c:crossBetween val="midCat"/>
        <c:majorUnit val="6"/>
      </c:valAx>
      <c:valAx>
        <c:axId val="46996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スループット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[Mbps</a:t>
                </a: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96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'802.11b'!$J$6:$J$16</c:f>
              <c:numCache>
                <c:formatCode>General</c:formatCode>
                <c:ptCount val="11"/>
                <c:pt idx="0">
                  <c:v>0.92864881597275961</c:v>
                </c:pt>
                <c:pt idx="2">
                  <c:v>2.4742268041237119</c:v>
                </c:pt>
                <c:pt idx="4">
                  <c:v>3.7408038571844222</c:v>
                </c:pt>
                <c:pt idx="6">
                  <c:v>4.7819651599681201</c:v>
                </c:pt>
                <c:pt idx="8">
                  <c:v>5.6621579112928586</c:v>
                </c:pt>
                <c:pt idx="10">
                  <c:v>6.4133709066174323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B-4327-A4C1-DD3E868F75FE}"/>
            </c:ext>
          </c:extLst>
        </c:ser>
        <c:ser>
          <c:idx val="1"/>
          <c:order val="1"/>
          <c:tx>
            <c:v>UDP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'802.11b'!$L$6:$L$16</c:f>
              <c:numCache>
                <c:formatCode>General</c:formatCode>
                <c:ptCount val="11"/>
                <c:pt idx="0">
                  <c:v>0.91131403807460143</c:v>
                </c:pt>
                <c:pt idx="2">
                  <c:v>2.4280412371134026</c:v>
                </c:pt>
                <c:pt idx="4">
                  <c:v>3.6709755185169795</c:v>
                </c:pt>
                <c:pt idx="6">
                  <c:v>4.6927018103153815</c:v>
                </c:pt>
                <c:pt idx="8">
                  <c:v>5.5564642969487252</c:v>
                </c:pt>
                <c:pt idx="10">
                  <c:v>6.2936546496939068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1B-4327-A4C1-DD3E868F75FE}"/>
            </c:ext>
          </c:extLst>
        </c:ser>
        <c:ser>
          <c:idx val="2"/>
          <c:order val="2"/>
          <c:tx>
            <c:v>TCP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'802.11b'!$N$6:$N$16</c:f>
              <c:numCache>
                <c:formatCode>General</c:formatCode>
                <c:ptCount val="11"/>
                <c:pt idx="0">
                  <c:v>0.86243815993502182</c:v>
                </c:pt>
                <c:pt idx="2">
                  <c:v>2.1920550516108857</c:v>
                </c:pt>
                <c:pt idx="4">
                  <c:v>3.2054448652505627</c:v>
                </c:pt>
                <c:pt idx="6">
                  <c:v>3.9865424935394214</c:v>
                </c:pt>
                <c:pt idx="8">
                  <c:v>4.6163980501515081</c:v>
                </c:pt>
                <c:pt idx="10">
                  <c:v>5.1324251987376659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1B-4327-A4C1-DD3E868F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804928"/>
        <c:axId val="671348768"/>
      </c:scatterChart>
      <c:valAx>
        <c:axId val="745804928"/>
        <c:scaling>
          <c:orientation val="minMax"/>
          <c:max val="11.5"/>
          <c:min val="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伝送レート</a:t>
                </a:r>
                <a:r>
                  <a:rPr lang="en-US"/>
                  <a:t>[Mbps]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1348768"/>
        <c:crosses val="autoZero"/>
        <c:crossBetween val="midCat"/>
        <c:minorUnit val="0.5"/>
      </c:valAx>
      <c:valAx>
        <c:axId val="6713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スループット</a:t>
                </a:r>
                <a:r>
                  <a:rPr lang="en-US"/>
                  <a:t>[Mbps]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580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'802.11b'!$K$7:$K$16</c:f>
              <c:numCache>
                <c:formatCode>General</c:formatCode>
                <c:ptCount val="10"/>
                <c:pt idx="0">
                  <c:v>1.7894422904861318</c:v>
                </c:pt>
                <c:pt idx="1">
                  <c:v>2.5762129669386007</c:v>
                </c:pt>
                <c:pt idx="3">
                  <c:v>3.9740362961981721</c:v>
                </c:pt>
                <c:pt idx="5">
                  <c:v>5.1781531253852791</c:v>
                </c:pt>
                <c:pt idx="7">
                  <c:v>6.2262193012798344</c:v>
                </c:pt>
                <c:pt idx="9">
                  <c:v>7.1467244179750944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0-44FD-B359-43BF825FBBFD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'802.11b'!$M$7:$M$16</c:f>
              <c:numCache>
                <c:formatCode>General</c:formatCode>
                <c:ptCount val="10"/>
                <c:pt idx="0">
                  <c:v>1.7560393677303907</c:v>
                </c:pt>
                <c:pt idx="1">
                  <c:v>2.5281236582224134</c:v>
                </c:pt>
                <c:pt idx="3">
                  <c:v>3.899854285335806</c:v>
                </c:pt>
                <c:pt idx="5">
                  <c:v>5.0814942670447536</c:v>
                </c:pt>
                <c:pt idx="7">
                  <c:v>6.1099965409892771</c:v>
                </c:pt>
                <c:pt idx="9">
                  <c:v>7.0133188955062256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00-44FD-B359-43BF825FBBFD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'802.11b'!$O$7:$O$16</c:f>
              <c:numCache>
                <c:formatCode>General</c:formatCode>
                <c:ptCount val="10"/>
                <c:pt idx="0">
                  <c:v>1.6360834850819443</c:v>
                </c:pt>
                <c:pt idx="1">
                  <c:v>2.3173070564116136</c:v>
                </c:pt>
                <c:pt idx="3">
                  <c:v>3.4747426667459984</c:v>
                </c:pt>
                <c:pt idx="5">
                  <c:v>4.4211323203374242</c:v>
                </c:pt>
                <c:pt idx="7">
                  <c:v>5.209376084047773</c:v>
                </c:pt>
                <c:pt idx="9">
                  <c:v>5.8760576263434707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00-44FD-B359-43BF825F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248000"/>
        <c:axId val="764736592"/>
      </c:scatterChart>
      <c:valAx>
        <c:axId val="672248000"/>
        <c:scaling>
          <c:orientation val="minMax"/>
          <c:max val="11.5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伝送レート</a:t>
                </a:r>
                <a:r>
                  <a:rPr lang="en-US" altLang="ja-JP"/>
                  <a:t>[Mbps]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4736592"/>
        <c:crosses val="autoZero"/>
        <c:crossBetween val="midCat"/>
      </c:valAx>
      <c:valAx>
        <c:axId val="7647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[Mbps]</a:t>
                </a:r>
                <a:endParaRPr lang="en-US" altLang="ja-JP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224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223837</xdr:colOff>
      <xdr:row>14</xdr:row>
      <xdr:rowOff>97630</xdr:rowOff>
    </xdr:from>
    <xdr:to>
      <xdr:col>15</xdr:col>
      <xdr:colOff>638174</xdr:colOff>
      <xdr:row>26</xdr:row>
      <xdr:rowOff>154780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81693586-7220-1924-F009-8228449A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371475</xdr:colOff>
      <xdr:row>13</xdr:row>
      <xdr:rowOff>104775</xdr:rowOff>
    </xdr:from>
    <xdr:to>
      <xdr:col>10</xdr:col>
      <xdr:colOff>742950</xdr:colOff>
      <xdr:row>25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F0F543B-2895-22AB-0797-6F99A04D8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17</xdr:row>
      <xdr:rowOff>66674</xdr:rowOff>
    </xdr:from>
    <xdr:to>
      <xdr:col>13</xdr:col>
      <xdr:colOff>371474</xdr:colOff>
      <xdr:row>28</xdr:row>
      <xdr:rowOff>161924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3C14641-0943-4B43-B064-A5FEAC3B7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609600</xdr:colOff>
      <xdr:row>17</xdr:row>
      <xdr:rowOff>171450</xdr:rowOff>
    </xdr:from>
    <xdr:to>
      <xdr:col>8</xdr:col>
      <xdr:colOff>981075</xdr:colOff>
      <xdr:row>29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199CB2E-3AD7-B847-4B28-90E9BCB71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729F-0F82-420E-9F2D-0563EB98DB60}">
  <sheetPr codeName="Sheet1"/>
  <dimension ref="C2:M26"/>
  <sheetViews>
    <sheetView workbookViewId="0">
      <selection activeCell="L40" sqref="L40"/>
    </sheetView>
  </sheetViews>
  <sheetFormatPr defaultRowHeight="17.25" x14ac:dyDescent="0.25"/>
  <cols>
    <col min="3" max="13" width="18.359375" customWidth="1"/>
  </cols>
  <sheetData>
    <row r="2" spans="3:13" x14ac:dyDescent="0.25">
      <c r="H2" s="6" t="s">
        <v>24</v>
      </c>
      <c r="I2" s="6"/>
      <c r="J2" s="6"/>
      <c r="K2" s="6" t="s">
        <v>22</v>
      </c>
      <c r="L2" s="6"/>
      <c r="M2" s="6"/>
    </row>
    <row r="3" spans="3:13" x14ac:dyDescent="0.25">
      <c r="C3" s="7" t="s">
        <v>5</v>
      </c>
      <c r="D3" s="7"/>
      <c r="E3" s="1" t="s">
        <v>6</v>
      </c>
      <c r="F3" s="1" t="s">
        <v>9</v>
      </c>
      <c r="G3" s="1" t="s">
        <v>9</v>
      </c>
      <c r="H3" s="1" t="s">
        <v>25</v>
      </c>
      <c r="I3" s="1" t="s">
        <v>26</v>
      </c>
      <c r="J3" s="1" t="s">
        <v>27</v>
      </c>
      <c r="K3" s="1" t="s">
        <v>25</v>
      </c>
      <c r="L3" s="1" t="s">
        <v>26</v>
      </c>
      <c r="M3" s="1" t="s">
        <v>27</v>
      </c>
    </row>
    <row r="4" spans="3:13" x14ac:dyDescent="0.25">
      <c r="C4" s="3" t="s">
        <v>30</v>
      </c>
      <c r="D4" s="3" t="s">
        <v>31</v>
      </c>
      <c r="E4" s="1" t="s">
        <v>8</v>
      </c>
      <c r="F4" s="1" t="s">
        <v>7</v>
      </c>
      <c r="G4" s="1" t="s">
        <v>10</v>
      </c>
      <c r="H4" s="1" t="s">
        <v>23</v>
      </c>
      <c r="I4" s="1" t="s">
        <v>23</v>
      </c>
      <c r="J4" s="1" t="s">
        <v>23</v>
      </c>
      <c r="K4" s="1" t="s">
        <v>23</v>
      </c>
      <c r="L4" s="1" t="s">
        <v>23</v>
      </c>
      <c r="M4" s="1" t="s">
        <v>23</v>
      </c>
    </row>
    <row r="5" spans="3:13" x14ac:dyDescent="0.25">
      <c r="C5" s="3">
        <v>6</v>
      </c>
      <c r="D5" s="3">
        <v>24</v>
      </c>
      <c r="E5" s="1">
        <f>D15+(D16+ROUNDUP((D17+D18+D25+D26)/D5,0))*4</f>
        <v>44</v>
      </c>
      <c r="F5" s="1">
        <f>D15+(D16+ROUNDUP((D17+D19+D20+D21+D25+D26)/D5,0))*4</f>
        <v>2072</v>
      </c>
      <c r="G5" s="1">
        <f>D15+(D16+ROUNDUP((D17+D19+D20+D24+D25+D26)/D5,0))*4</f>
        <v>128</v>
      </c>
      <c r="H5">
        <f>D21/(E5+F5+G17+F17)</f>
        <v>5.3727333781061111</v>
      </c>
      <c r="I5">
        <f>D22/(E5+F5+G17+F17)</f>
        <v>5.2724423550481303</v>
      </c>
      <c r="J5" s="2">
        <f>D23/((E5+F5+G17+F17)*2+(E5+G5+G17+F17+6))</f>
        <v>4.9049868766404199</v>
      </c>
      <c r="K5">
        <f>D21/(E5+F5+G20+F20+6)</f>
        <v>5.1325919589392646</v>
      </c>
      <c r="L5">
        <f>D22/(E5+F5+G20+F20+6)</f>
        <v>5.0367835757057318</v>
      </c>
      <c r="M5">
        <f>D23/((E5+F5+G20+F20+6)*2+(E5+G5+F20+G20+6))</f>
        <v>4.607495069033531</v>
      </c>
    </row>
    <row r="6" spans="3:13" x14ac:dyDescent="0.25">
      <c r="C6" s="3">
        <v>9</v>
      </c>
      <c r="D6" s="3">
        <v>36</v>
      </c>
      <c r="E6" s="1">
        <f>D15+(D16+ROUNDUP((D17+D18+D25+D26)/D6,0))*4</f>
        <v>36</v>
      </c>
      <c r="F6" s="1">
        <f>D15+(D16+ROUNDUP((D17+D19+D20+D21+D25+D26)/D6,0))*4</f>
        <v>1388</v>
      </c>
      <c r="G6" s="1">
        <f>D15+(D16+ROUNDUP((D17+D19+D20+D24+D25+D26)/D6,0))*4</f>
        <v>92</v>
      </c>
      <c r="H6">
        <f>D21/(E6+F6+G17+F17)</f>
        <v>7.784625364904314</v>
      </c>
      <c r="I6">
        <f>D22/(E6+F6+G17+F17)</f>
        <v>7.6393123580927664</v>
      </c>
      <c r="J6" s="2">
        <f>D23/((E6+F6+G17+F17)*2+(E6+G6+G17+F17+6))</f>
        <v>7.0055480581796372</v>
      </c>
      <c r="K6">
        <f>D21/(E6+F6+G20+F20+6)</f>
        <v>7.2904009720534626</v>
      </c>
      <c r="L6">
        <f>D22/(E6+F6+G20+F20+6)</f>
        <v>7.1543134872417982</v>
      </c>
      <c r="M6">
        <f>D23/((E6+F6+G20+F20+6)*2+(E6+G6+F20+G20+6))</f>
        <v>6.4140582097748489</v>
      </c>
    </row>
    <row r="7" spans="3:13" x14ac:dyDescent="0.25">
      <c r="C7" s="3">
        <v>12</v>
      </c>
      <c r="D7" s="3">
        <v>48</v>
      </c>
      <c r="E7" s="1">
        <f>D15+(D16+ROUNDUP((D17+D18+D25+D26)/D7,0))*4</f>
        <v>32</v>
      </c>
      <c r="F7" s="1">
        <f>D15+(D16+ROUNDUP((D17+D19+D20+D21+D25+D26)/D7,0))*4</f>
        <v>1048</v>
      </c>
      <c r="G7" s="1">
        <f>D15+(D16+ROUNDUP((D17+D19+D20+D24+D25+D26)/D7,0))*4</f>
        <v>76</v>
      </c>
      <c r="H7">
        <f>D21/(E7+F7+G17+F17)</f>
        <v>10.020876826722338</v>
      </c>
      <c r="I7">
        <f>D22/(E7+F7+G17+F17)</f>
        <v>9.8338204592901874</v>
      </c>
      <c r="J7" s="2">
        <f>D23/((E7+F7+G17+F17)*2+(E7+G7+G17+F17+6))</f>
        <v>8.8939653531315432</v>
      </c>
      <c r="K7">
        <f>D21/(E7+F7+G20+F20+6)</f>
        <v>9.2165898617511512</v>
      </c>
      <c r="L7">
        <f>D22/(E7+F7+G20+F20+6)</f>
        <v>9.0445468509984632</v>
      </c>
      <c r="M7">
        <f>D23/((E7+F7+G20+F20+6)*2+(E7+G7+F20+G20+6))</f>
        <v>7.9618268575323787</v>
      </c>
    </row>
    <row r="8" spans="3:13" x14ac:dyDescent="0.25">
      <c r="C8" s="3">
        <v>18</v>
      </c>
      <c r="D8" s="3">
        <v>72</v>
      </c>
      <c r="E8" s="1">
        <f>D15+(D16+ROUNDUP((D17+D18+D25+D26)/D8,0))*4</f>
        <v>28</v>
      </c>
      <c r="F8" s="1">
        <f>D15+(D16+ROUNDUP((D17+D19+D20+D21+D25+D26)/D8,0))*4</f>
        <v>704</v>
      </c>
      <c r="G8" s="1">
        <f>D15+(D16+ROUNDUP((D17+D19+D20+D24+D25+D26)/D8,0))*4</f>
        <v>56</v>
      </c>
      <c r="H8">
        <f>D21/(E8+F8+G17+F17)</f>
        <v>14.125956444967628</v>
      </c>
      <c r="I8">
        <f>D22/(E8+F8+G17+F17)</f>
        <v>13.862271924661565</v>
      </c>
      <c r="J8" s="2">
        <f>D23/((E8+F8+G17+F17)*2+(E8+G8+G17+F17+6))</f>
        <v>12.252819302386571</v>
      </c>
      <c r="K8">
        <f>D21/(E8+F8+G20+F20+6)</f>
        <v>12.578616352201259</v>
      </c>
      <c r="L8">
        <f>D22/(E8+F8+G20+F20+6)</f>
        <v>12.343815513626835</v>
      </c>
      <c r="M8">
        <f>D23/((E8+F8+G20+F20+6)*2+(E8+G8+F20+G20+6))</f>
        <v>10.55103884372177</v>
      </c>
    </row>
    <row r="9" spans="3:13" x14ac:dyDescent="0.25">
      <c r="C9" s="3">
        <v>24</v>
      </c>
      <c r="D9" s="3">
        <v>96</v>
      </c>
      <c r="E9" s="1">
        <f>D15+(D16+ROUNDUP((D17+D18+D25+D26)/D9,0))*4</f>
        <v>28</v>
      </c>
      <c r="F9" s="1">
        <f>D15+(D16+ROUNDUP((D17+D19+D20+D21+D25+D26)/D9,0))*4</f>
        <v>536</v>
      </c>
      <c r="G9" s="1">
        <f>D15+(D16+ROUNDUP((D17+D19+D20+D24+D25+D26)/D9,0))*4</f>
        <v>48</v>
      </c>
      <c r="H9">
        <f>D21/(E9+F9+G17+F17)</f>
        <v>17.608217168011738</v>
      </c>
      <c r="I9">
        <f>D22/(E9+F9+G17+F17)</f>
        <v>17.279530447542186</v>
      </c>
      <c r="J9" s="2">
        <f>D23/((E9+F9+G17+F17)*2+(E9+G9+G17+F17+6))</f>
        <v>14.9504</v>
      </c>
      <c r="K9">
        <f>D21/(E9+F9+G20+F20+6)</f>
        <v>15.267175572519085</v>
      </c>
      <c r="L9">
        <f>D22/(E9+F9+G20+F20+6)</f>
        <v>14.982188295165395</v>
      </c>
      <c r="M9">
        <f>D23/((E9+F9+G20+F20+6)*2+(E9+G9+F20+G20+6))</f>
        <v>12.491978609625669</v>
      </c>
    </row>
    <row r="10" spans="3:13" x14ac:dyDescent="0.25">
      <c r="C10" s="3">
        <v>36</v>
      </c>
      <c r="D10" s="3">
        <v>144</v>
      </c>
      <c r="E10" s="1">
        <f>D15+(D16+ROUNDUP((D17+D18+D25+D26)/D10,0))*4</f>
        <v>24</v>
      </c>
      <c r="F10" s="1">
        <f>D15+(D16+ROUNDUP((D17+D19+D20+D21+D25+D26)/D10,0))*4</f>
        <v>364</v>
      </c>
      <c r="G10" s="1">
        <f>D15+(D16+ROUNDUP((D17+D19+D20+D24+D25+D26)/D10,0))*4</f>
        <v>40</v>
      </c>
      <c r="H10">
        <f>D21/(E10+F10+G17+F17)</f>
        <v>23.73887240356083</v>
      </c>
      <c r="I10">
        <f>D22/(E10+F10+G17+F17)</f>
        <v>23.295746785361029</v>
      </c>
      <c r="J10" s="2">
        <f>D23/((E10+F10+G17+F17)*2+(E10+G10+G17+F17+6))</f>
        <v>19.491030454735085</v>
      </c>
      <c r="K10">
        <f>D21/(E10+F10+G20+F20+6)</f>
        <v>19.672131147540984</v>
      </c>
      <c r="L10">
        <f>D22/(E10+F10+G20+F20+6)</f>
        <v>19.304918032786887</v>
      </c>
      <c r="M10">
        <f>D23/((E10+F10+G20+F20+6)*2+(E10+G10+F20+G20+6))</f>
        <v>15.51128818061089</v>
      </c>
    </row>
    <row r="11" spans="3:13" x14ac:dyDescent="0.25">
      <c r="C11" s="3">
        <v>48</v>
      </c>
      <c r="D11" s="3">
        <v>192</v>
      </c>
      <c r="E11" s="1">
        <f>D15+(D16+ROUNDUP((D17+D18+D25+D26)/D11,0))*4</f>
        <v>24</v>
      </c>
      <c r="F11" s="1">
        <f>D15+(D16+ROUNDUP((D17+D19+D20+D21+D25+D26)/D11,0))*4</f>
        <v>280</v>
      </c>
      <c r="G11" s="1">
        <f>D15+(D16+ROUNDUP((D17+D19+D20+D24+D25+D26)/D11,0))*4</f>
        <v>36</v>
      </c>
      <c r="H11">
        <f>D21/(E11+F11+G17+F17)</f>
        <v>28.469750889679716</v>
      </c>
      <c r="I11">
        <f>D22/(E11+F11+G17+F17)</f>
        <v>27.938315539739026</v>
      </c>
      <c r="J11" s="2">
        <f>D23/((E11+F11+G17+F17)*2+(E11+G11+G17+F17+6))</f>
        <v>22.75694106186069</v>
      </c>
      <c r="K11">
        <f>D21/(E11+F11+G20+F20+6)</f>
        <v>22.813688212927758</v>
      </c>
      <c r="L11">
        <f>D22/(E11+F11+G20+F20+6)</f>
        <v>22.387832699619771</v>
      </c>
      <c r="M11">
        <f>D23/((E11+F11+G20+F20+6)*2+(E11+G11+F20+G20+6))</f>
        <v>17.511244377811096</v>
      </c>
    </row>
    <row r="12" spans="3:13" x14ac:dyDescent="0.25">
      <c r="C12" s="3">
        <v>54</v>
      </c>
      <c r="D12" s="3">
        <v>216</v>
      </c>
      <c r="E12" s="1">
        <f>D15+(D16+ROUNDUP((D17+D18+D25+D26)/D12,0))*4</f>
        <v>24</v>
      </c>
      <c r="F12" s="1">
        <f>D15+(D16+ROUNDUP((D17+D19+D20+D21+D25+D26)/D12,0))*4</f>
        <v>248</v>
      </c>
      <c r="G12" s="1">
        <f>D15+(D16+ROUNDUP((D17+D19+D20+D24+D25+D26)/D11,0))*4</f>
        <v>36</v>
      </c>
      <c r="H12">
        <f>D21/((E12+F12+G17+F17))</f>
        <v>30.808729139922978</v>
      </c>
      <c r="I12">
        <f>D22/(E12+F12+G17+F17)</f>
        <v>30.233632862644416</v>
      </c>
      <c r="J12" s="2">
        <f>D23/((E12+F12+G17+F17)*2+(E12+G12+G17+F17+6))</f>
        <v>24.270129870129871</v>
      </c>
      <c r="K12">
        <f>D21/(E12+F12+G20+F20+6)</f>
        <v>24.291497975708502</v>
      </c>
      <c r="L12">
        <f>D22/(E12+F12+G20+F20+6)</f>
        <v>23.838056680161944</v>
      </c>
      <c r="M12">
        <f>D23/((E12+F12+G20+F20+6)*2+(E12+G12+F20+G20+6))</f>
        <v>18.393700787401574</v>
      </c>
    </row>
    <row r="15" spans="3:13" x14ac:dyDescent="0.25">
      <c r="C15" t="s">
        <v>21</v>
      </c>
      <c r="D15" s="1">
        <v>16</v>
      </c>
      <c r="F15" s="6" t="s">
        <v>15</v>
      </c>
      <c r="G15" s="6"/>
    </row>
    <row r="16" spans="3:13" x14ac:dyDescent="0.25">
      <c r="C16" t="s">
        <v>0</v>
      </c>
      <c r="D16" s="1">
        <v>1</v>
      </c>
      <c r="F16" s="1" t="s">
        <v>16</v>
      </c>
      <c r="G16" s="1" t="s">
        <v>17</v>
      </c>
    </row>
    <row r="17" spans="3:8" x14ac:dyDescent="0.25">
      <c r="C17" t="s">
        <v>1</v>
      </c>
      <c r="D17" s="1">
        <v>16</v>
      </c>
      <c r="F17" s="1">
        <v>16</v>
      </c>
      <c r="G17">
        <f>34+15*9/2</f>
        <v>101.5</v>
      </c>
      <c r="H17" s="1"/>
    </row>
    <row r="18" spans="3:8" x14ac:dyDescent="0.25">
      <c r="C18" t="s">
        <v>2</v>
      </c>
      <c r="D18" s="1">
        <v>80</v>
      </c>
      <c r="F18" s="6" t="s">
        <v>18</v>
      </c>
      <c r="G18" s="6"/>
      <c r="H18" s="6"/>
    </row>
    <row r="19" spans="3:8" x14ac:dyDescent="0.25">
      <c r="C19" t="s">
        <v>11</v>
      </c>
      <c r="D19" s="1">
        <v>192</v>
      </c>
      <c r="F19" s="1" t="s">
        <v>16</v>
      </c>
      <c r="G19" s="1" t="s">
        <v>19</v>
      </c>
      <c r="H19" t="s">
        <v>20</v>
      </c>
    </row>
    <row r="20" spans="3:8" x14ac:dyDescent="0.25">
      <c r="C20" t="s">
        <v>13</v>
      </c>
      <c r="D20" s="1">
        <v>64</v>
      </c>
      <c r="F20" s="1">
        <v>10</v>
      </c>
      <c r="G20">
        <f>56+15*20/2</f>
        <v>206</v>
      </c>
      <c r="H20">
        <f>34+15*9/2</f>
        <v>101.5</v>
      </c>
    </row>
    <row r="21" spans="3:8" x14ac:dyDescent="0.25">
      <c r="C21" t="s">
        <v>12</v>
      </c>
      <c r="D21" s="1">
        <v>12000</v>
      </c>
      <c r="F21" s="1"/>
    </row>
    <row r="22" spans="3:8" x14ac:dyDescent="0.25">
      <c r="C22" t="s">
        <v>29</v>
      </c>
      <c r="D22">
        <f>1472*8</f>
        <v>11776</v>
      </c>
      <c r="H22" s="1"/>
    </row>
    <row r="23" spans="3:8" x14ac:dyDescent="0.25">
      <c r="C23" t="s">
        <v>28</v>
      </c>
      <c r="D23">
        <f>2*1460*8</f>
        <v>23360</v>
      </c>
      <c r="H23" s="1"/>
    </row>
    <row r="24" spans="3:8" x14ac:dyDescent="0.25">
      <c r="C24" t="s">
        <v>14</v>
      </c>
      <c r="D24" s="1">
        <v>320</v>
      </c>
    </row>
    <row r="25" spans="3:8" x14ac:dyDescent="0.25">
      <c r="C25" t="s">
        <v>3</v>
      </c>
      <c r="D25" s="1">
        <v>32</v>
      </c>
    </row>
    <row r="26" spans="3:8" x14ac:dyDescent="0.25">
      <c r="C26" t="s">
        <v>4</v>
      </c>
      <c r="D26" s="1">
        <v>6</v>
      </c>
    </row>
  </sheetData>
  <mergeCells count="5">
    <mergeCell ref="K2:M2"/>
    <mergeCell ref="F15:G15"/>
    <mergeCell ref="C3:D3"/>
    <mergeCell ref="F18:H18"/>
    <mergeCell ref="H2:J2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578D8-0E3C-4A83-9D17-BB4C8CFB5BEC}">
  <sheetPr codeName="Sheet2"/>
  <dimension ref="B3:O27"/>
  <sheetViews>
    <sheetView tabSelected="1" topLeftCell="I3" workbookViewId="0">
      <selection activeCell="L14" sqref="L14"/>
    </sheetView>
  </sheetViews>
  <sheetFormatPr defaultRowHeight="17.25" x14ac:dyDescent="0.25"/>
  <cols>
    <col min="1" max="26" width="18.359375" customWidth="1"/>
  </cols>
  <sheetData>
    <row r="3" spans="2:15" x14ac:dyDescent="0.25">
      <c r="G3" s="6" t="s">
        <v>22</v>
      </c>
      <c r="H3" s="6"/>
      <c r="I3" s="6"/>
    </row>
    <row r="4" spans="2:15" x14ac:dyDescent="0.25">
      <c r="B4" s="7" t="s">
        <v>5</v>
      </c>
      <c r="C4" s="7"/>
      <c r="D4" s="10" t="s">
        <v>6</v>
      </c>
      <c r="E4" s="6"/>
      <c r="F4" s="6" t="s">
        <v>9</v>
      </c>
      <c r="G4" s="6"/>
      <c r="H4" s="6" t="s">
        <v>36</v>
      </c>
      <c r="I4" s="6"/>
      <c r="J4" s="6" t="s">
        <v>25</v>
      </c>
      <c r="K4" s="6"/>
      <c r="L4" s="6" t="s">
        <v>26</v>
      </c>
      <c r="M4" s="6"/>
      <c r="N4" s="6" t="s">
        <v>27</v>
      </c>
      <c r="O4" s="6"/>
    </row>
    <row r="5" spans="2:15" x14ac:dyDescent="0.25">
      <c r="B5" s="8" t="s">
        <v>30</v>
      </c>
      <c r="C5" s="9"/>
      <c r="D5" s="1" t="s">
        <v>34</v>
      </c>
      <c r="E5" t="s">
        <v>35</v>
      </c>
      <c r="F5" s="1" t="s">
        <v>34</v>
      </c>
      <c r="G5" t="s">
        <v>35</v>
      </c>
      <c r="H5" s="1" t="s">
        <v>34</v>
      </c>
      <c r="I5" t="s">
        <v>35</v>
      </c>
      <c r="J5" s="1" t="s">
        <v>34</v>
      </c>
      <c r="K5" t="s">
        <v>35</v>
      </c>
      <c r="L5" s="1" t="s">
        <v>34</v>
      </c>
      <c r="M5" t="s">
        <v>35</v>
      </c>
      <c r="N5" s="1" t="s">
        <v>34</v>
      </c>
      <c r="O5" t="s">
        <v>35</v>
      </c>
    </row>
    <row r="6" spans="2:15" x14ac:dyDescent="0.25">
      <c r="B6" s="4">
        <v>1</v>
      </c>
      <c r="C6" s="5">
        <f>B6*4</f>
        <v>4</v>
      </c>
      <c r="D6">
        <f>C17+C18/C6+(C19+C26)/(B6*C6)</f>
        <v>184</v>
      </c>
      <c r="E6">
        <f>C17/2+C18/2+(C19+C26)/(B6)</f>
        <v>208</v>
      </c>
      <c r="F6">
        <f>C17+C18+(C19+C22+C21+C26)/(B6)</f>
        <v>12368</v>
      </c>
      <c r="G6">
        <f>C17/2+C18/2+(C19+C22+C21+C26)/(B6)</f>
        <v>12272</v>
      </c>
      <c r="H6">
        <f>C17+C18+(C19+C25+C21+C26)/(B6)</f>
        <v>688</v>
      </c>
      <c r="I6">
        <f>C17/2+C18/2+(C19+C25+C21+C26)/(B6)</f>
        <v>592</v>
      </c>
      <c r="J6">
        <f>C22/(D6+F6+E19+F19)</f>
        <v>0.92864881597275961</v>
      </c>
      <c r="L6">
        <f>C23/(D6+F6+E19+F19)</f>
        <v>0.91131403807460143</v>
      </c>
      <c r="N6">
        <f>C24/((D6+F6+E19+F19)*2+(D6+H6+E19+F19))</f>
        <v>0.86243815993502182</v>
      </c>
    </row>
    <row r="7" spans="2:15" x14ac:dyDescent="0.25">
      <c r="B7" s="4">
        <v>2</v>
      </c>
      <c r="C7" s="5">
        <f t="shared" ref="C7:C15" si="0">B7*4</f>
        <v>8</v>
      </c>
      <c r="D7">
        <f>C17+C18/(1)+(C19+C26)/(B7)</f>
        <v>248</v>
      </c>
      <c r="E7">
        <f>C17/2+C18/2+(C19+C26)/(B7)</f>
        <v>152</v>
      </c>
      <c r="F7">
        <f>C17+C18+(C19+C22+C21+C26)/(B7)</f>
        <v>6280</v>
      </c>
      <c r="G7">
        <f>C17/2+C18/2+(C19+C22+C21+C26)/(B7)</f>
        <v>6184</v>
      </c>
      <c r="H7">
        <f>C17+C18+(C19+C25+C21+C26)/(B7)</f>
        <v>440</v>
      </c>
      <c r="I7">
        <f>C17/2+C18/2+(C19+C25+C21+C26)/(B7)</f>
        <v>344</v>
      </c>
      <c r="K7">
        <f>C22/(E7+G7+E19+F19)</f>
        <v>1.7894422904861318</v>
      </c>
      <c r="M7">
        <f>C23/(E7+G7+E19+F19)</f>
        <v>1.7560393677303907</v>
      </c>
      <c r="O7">
        <f>C24/((E7+G7+E19+F19)*2+(E7+I7+E19+F19))</f>
        <v>1.6360834850819443</v>
      </c>
    </row>
    <row r="8" spans="2:15" x14ac:dyDescent="0.25">
      <c r="B8" s="4">
        <v>3</v>
      </c>
      <c r="C8" s="5">
        <f t="shared" si="0"/>
        <v>12</v>
      </c>
      <c r="D8">
        <f>C17+C18/(1)+(C19+C26)/(B8)</f>
        <v>229.33333333333334</v>
      </c>
      <c r="E8">
        <f>C17/2+C18/2+(C19+C26)/(B8)</f>
        <v>133.33333333333334</v>
      </c>
      <c r="F8">
        <f>C17+C18+(C19+C22+C21+C26)/(B8)</f>
        <v>4250.6666666666661</v>
      </c>
      <c r="G8">
        <f>C17/2+C18/2+(C19+C22+C21+C26)/(B8)</f>
        <v>4154.6666666666661</v>
      </c>
      <c r="H8">
        <f>C17+C18+(C19+C25+C21+C26)/(B8)</f>
        <v>357.33333333333337</v>
      </c>
      <c r="I8">
        <f>C17/2+C18/2+(C19+C25+C21+C26)/(B8)</f>
        <v>261.33333333333337</v>
      </c>
      <c r="J8">
        <f>C22/(D8+F8+E19+F19)</f>
        <v>2.4742268041237119</v>
      </c>
      <c r="K8">
        <f>C22/(E8+G8+E19+F19)</f>
        <v>2.5762129669386007</v>
      </c>
      <c r="L8">
        <f>C23/(D8+F8+E19+F19)</f>
        <v>2.4280412371134026</v>
      </c>
      <c r="M8">
        <f>C23/(E8+G8+E19+F19)</f>
        <v>2.5281236582224134</v>
      </c>
      <c r="N8">
        <f>C24/((D8+F8+E19+F19)*2+(D8+H8+E19+F19))</f>
        <v>2.1920550516108857</v>
      </c>
      <c r="O8">
        <f>C24/((E8+G8+E19+F19)*2+(E8+I8+E19+F19))</f>
        <v>2.3173070564116136</v>
      </c>
    </row>
    <row r="9" spans="2:15" x14ac:dyDescent="0.25">
      <c r="B9" s="4">
        <v>4</v>
      </c>
      <c r="C9" s="5">
        <f t="shared" si="0"/>
        <v>16</v>
      </c>
      <c r="D9">
        <f>C17+C18/(1)+(C19+C26)/(B10)</f>
        <v>214.4</v>
      </c>
      <c r="E9">
        <f>C17/2+C18/2+(C19+C26)/(B9)</f>
        <v>124</v>
      </c>
      <c r="F9">
        <f>C17+C18+(C19+C22+C21+C26)/(B9)</f>
        <v>3236</v>
      </c>
      <c r="G9">
        <f>C17/2+C18/2+(C19+C22+C21+C26)/(B9)</f>
        <v>3140</v>
      </c>
      <c r="H9">
        <f>C17+C18+(C19+C25+C21+C26)/(B9)</f>
        <v>316</v>
      </c>
      <c r="I9">
        <f>C17/2+C18/2+(C19+C25+C21+C26)/(B9)</f>
        <v>220</v>
      </c>
    </row>
    <row r="10" spans="2:15" x14ac:dyDescent="0.25">
      <c r="B10" s="4">
        <v>5</v>
      </c>
      <c r="C10" s="5">
        <f t="shared" si="0"/>
        <v>20</v>
      </c>
      <c r="D10">
        <f>C17+C18/(1)+(C19+C26)/(B11)</f>
        <v>210.66666666666666</v>
      </c>
      <c r="E10">
        <f>C17/2+C18/2+(C19+C26)/(B10)</f>
        <v>118.4</v>
      </c>
      <c r="F10">
        <f>C17+C18+(C19+C22+C21+C26)/(B10)</f>
        <v>2627.2</v>
      </c>
      <c r="G10">
        <f>C17/2+C18/2+(C19+C22+C21+C26)/(B10)</f>
        <v>2531.1999999999998</v>
      </c>
      <c r="H10">
        <f>C17+C18+(C19+C25+C21+C26)/(B10)</f>
        <v>291.2</v>
      </c>
      <c r="I10">
        <f>C17/2+C18/2+(C19+C25+C21+C26)/(B10)</f>
        <v>195.2</v>
      </c>
      <c r="J10">
        <f>C22/(D10+F10+E19+F19)</f>
        <v>3.7408038571844222</v>
      </c>
      <c r="K10">
        <f>C22/(E10+G10+E19+F19)</f>
        <v>3.9740362961981721</v>
      </c>
      <c r="L10">
        <f>C23/(D10+F10+E19+F19)</f>
        <v>3.6709755185169795</v>
      </c>
      <c r="M10">
        <f>C23/(E10+G10+E19+F19)</f>
        <v>3.899854285335806</v>
      </c>
      <c r="N10">
        <f>C24/((D10+F10+E19+F19)*2+(D10+H10+E19+F19))</f>
        <v>3.2054448652505627</v>
      </c>
      <c r="O10">
        <f>C24/((E10+G10+E19+F19)*2+(E10+I10+E19+F19))</f>
        <v>3.4747426667459984</v>
      </c>
    </row>
    <row r="11" spans="2:15" x14ac:dyDescent="0.25">
      <c r="B11" s="4">
        <v>6</v>
      </c>
      <c r="C11" s="5">
        <f t="shared" si="0"/>
        <v>24</v>
      </c>
      <c r="D11">
        <f>C17+C18/(1)+(C19+C26)/(B11)</f>
        <v>210.66666666666666</v>
      </c>
      <c r="E11">
        <f>C17/2+C18/2+(C19+C26)/(B11)</f>
        <v>114.66666666666667</v>
      </c>
      <c r="F11">
        <f>C17+C18+(C19+C22+C21+C26)/(B11)</f>
        <v>2221.333333333333</v>
      </c>
      <c r="G11">
        <f>C17/2+C18/2+(C19+C22+C21+C26)/(B11)</f>
        <v>2125.333333333333</v>
      </c>
      <c r="H11">
        <f>C17+C18+(C19+C25+C21+C26)/(B11)</f>
        <v>274.66666666666669</v>
      </c>
      <c r="I11">
        <f>C17/2+C18/2+(C19+C25+C21+C26)/(B11)</f>
        <v>178.66666666666669</v>
      </c>
    </row>
    <row r="12" spans="2:15" x14ac:dyDescent="0.25">
      <c r="B12" s="4">
        <v>7</v>
      </c>
      <c r="C12" s="5">
        <f t="shared" si="0"/>
        <v>28</v>
      </c>
      <c r="D12">
        <f>C17+C18/(1)+(C19+C26)/(B12)</f>
        <v>208</v>
      </c>
      <c r="E12">
        <f>C17/2+C18/2+(C19+C26)/(B12)</f>
        <v>112</v>
      </c>
      <c r="F12">
        <f>C17+C18+(C19+C22+C21+C26)/(B12)</f>
        <v>1931.4285714285713</v>
      </c>
      <c r="G12">
        <f>C17/2+C18/2+(C19+C22+C21+C26)/(B12)</f>
        <v>1835.4285714285713</v>
      </c>
      <c r="H12">
        <f>C17+C18+(C19+C25+C21+C26)/(B12)</f>
        <v>262.85714285714289</v>
      </c>
      <c r="I12">
        <f>C17/2+C18/2+(C19+C25+C21+C26)/(B12)</f>
        <v>166.85714285714286</v>
      </c>
      <c r="J12">
        <f>C22/(D12+F12+E19+F19)</f>
        <v>4.7819651599681201</v>
      </c>
      <c r="K12">
        <f>C22/(E12+G12+E19+F19)</f>
        <v>5.1781531253852791</v>
      </c>
      <c r="L12">
        <f>C23/(D12+F12+E19+F19)</f>
        <v>4.6927018103153815</v>
      </c>
      <c r="M12">
        <f>C23/(E12+G12+E19+F19)</f>
        <v>5.0814942670447536</v>
      </c>
      <c r="N12">
        <f>C24/((D12+F12+E19+F19)*2+(D12+H12+E19+F19))</f>
        <v>3.9865424935394214</v>
      </c>
      <c r="O12">
        <f>C24/((E12+G12+E19+F19)*2+(E12+I12+E19+F19))</f>
        <v>4.4211323203374242</v>
      </c>
    </row>
    <row r="13" spans="2:15" x14ac:dyDescent="0.25">
      <c r="B13" s="4">
        <v>8</v>
      </c>
      <c r="C13" s="5">
        <f t="shared" si="0"/>
        <v>32</v>
      </c>
      <c r="D13">
        <f>C17+C18/(1)+(C19+C26)/(B13)</f>
        <v>206</v>
      </c>
      <c r="E13">
        <f>C17/2+C18/2+(C19+C26)/(B13)</f>
        <v>110</v>
      </c>
      <c r="F13">
        <f>C17+C18+(C19+C22+C21+C26)/(B13)</f>
        <v>1714</v>
      </c>
      <c r="G13">
        <f>C17/2+C18/2+(C19+C22+C21+C26)/(B13)</f>
        <v>1618</v>
      </c>
      <c r="H13">
        <f>C17+C18+(C19+C25+C21+C26)/(B13)</f>
        <v>254</v>
      </c>
      <c r="I13">
        <f>C17/2+C18/2+(C19+C25+C21+C26)/(B13)</f>
        <v>158</v>
      </c>
    </row>
    <row r="14" spans="2:15" x14ac:dyDescent="0.25">
      <c r="B14" s="4">
        <v>9</v>
      </c>
      <c r="C14" s="5">
        <f t="shared" si="0"/>
        <v>36</v>
      </c>
      <c r="D14">
        <f>C17+C18/(1)+(C19+C26)/(B14)</f>
        <v>204.44444444444446</v>
      </c>
      <c r="E14">
        <f>C17/2+C18/2+(C19+C26)/(B14)</f>
        <v>108.44444444444444</v>
      </c>
      <c r="F14">
        <f>C17+C18+(C19+C22+C21+C26)/(B14)</f>
        <v>1544.8888888888889</v>
      </c>
      <c r="G14">
        <f>C17/2+C18/2+(C19+C22+C21+C26)/(B14)</f>
        <v>1448.8888888888889</v>
      </c>
      <c r="H14">
        <f>C17+C18+(C19+C25+C21+C26)/(B14)</f>
        <v>247.11111111111111</v>
      </c>
      <c r="I14">
        <f>C17/2+C18/2+(C19+C25+C21+C26)/(B14)</f>
        <v>151.11111111111111</v>
      </c>
      <c r="J14">
        <f>C22/(D14+F14+E19+F19)</f>
        <v>5.6621579112928586</v>
      </c>
      <c r="K14">
        <f>C22/(E14+G14+E19+F19)</f>
        <v>6.2262193012798344</v>
      </c>
      <c r="L14">
        <f>C23/(D14+F14+E19+F19)</f>
        <v>5.5564642969487252</v>
      </c>
      <c r="M14">
        <f>C23/(E14+G14+E19+F19)</f>
        <v>6.1099965409892771</v>
      </c>
      <c r="N14">
        <f>C24/((D14+F14+E19+F19)*2+(D14+H14+E19+F19))</f>
        <v>4.6163980501515081</v>
      </c>
      <c r="O14">
        <f>C24/((E14+G14+E19+F19)*2+(E14+I14+E19+F19))</f>
        <v>5.209376084047773</v>
      </c>
    </row>
    <row r="15" spans="2:15" x14ac:dyDescent="0.25">
      <c r="B15" s="4">
        <v>10</v>
      </c>
      <c r="C15" s="5">
        <f t="shared" si="0"/>
        <v>40</v>
      </c>
      <c r="D15">
        <f>C17+C18/(1)+(C19+C26)/(B15)</f>
        <v>203.2</v>
      </c>
      <c r="E15">
        <f>C17/2+C18/2+(C19+C26)/(B15)</f>
        <v>107.2</v>
      </c>
      <c r="F15">
        <f>C17+C18+(C19+C22+C21+C26)/(B15)</f>
        <v>1409.6</v>
      </c>
      <c r="G15">
        <f>C17/2+C18/2+(C19+C22+C21+C26)/(B15)</f>
        <v>1313.6</v>
      </c>
      <c r="H15">
        <f>C17+C18+(C19+C25+C21+C26)/(B15)</f>
        <v>241.6</v>
      </c>
      <c r="I15">
        <f>C17/2+C18/2+(C19+C25+C21+C26)/(B15)</f>
        <v>145.6</v>
      </c>
    </row>
    <row r="16" spans="2:15" x14ac:dyDescent="0.25">
      <c r="B16" s="4">
        <v>11</v>
      </c>
      <c r="C16" s="5"/>
      <c r="D16">
        <f>C17+C18/(1)+(C19+C26)/(B16)</f>
        <v>202.18181818181819</v>
      </c>
      <c r="E16">
        <f>C17/2+C18/2+(C19+C26)/(B16)</f>
        <v>106.18181818181819</v>
      </c>
      <c r="F16">
        <f>C17+C18+(C19+C22+C21+C26)/(B16)</f>
        <v>1298.909090909091</v>
      </c>
      <c r="G16">
        <f>C17/2+C18/2+(C19+C22+C21+C26)/(B16)</f>
        <v>1202.909090909091</v>
      </c>
      <c r="H16">
        <f>C17+C18+(C19+C25+C21+C26)/(B16)</f>
        <v>237.09090909090909</v>
      </c>
      <c r="I16">
        <f>C17/2+C18/2+(C19+C25+C21+C26)/(B16)</f>
        <v>141.09090909090909</v>
      </c>
      <c r="J16">
        <f>C22/(D16+F16+E19+F19)</f>
        <v>6.4133709066174323</v>
      </c>
      <c r="K16">
        <f>C22/(E16+G16+E19+F19)</f>
        <v>7.1467244179750944</v>
      </c>
      <c r="L16">
        <f>C23/(D16+F16+E19+F19)</f>
        <v>6.2936546496939068</v>
      </c>
      <c r="M16">
        <f>C23/(E16+G16+E19+F19)</f>
        <v>7.0133188955062256</v>
      </c>
      <c r="N16">
        <f>C24/((D16+F16+E19+F19)*2+(D16+H16+E19+F19))</f>
        <v>5.1324251987376659</v>
      </c>
      <c r="O16">
        <f>C24/((E16+G16+E19+F19)*2+(E16+I16+E19+F19))</f>
        <v>5.8760576263434707</v>
      </c>
    </row>
    <row r="17" spans="2:7" x14ac:dyDescent="0.25">
      <c r="B17" t="s">
        <v>21</v>
      </c>
      <c r="C17" s="1">
        <v>144</v>
      </c>
      <c r="E17" s="6" t="s">
        <v>32</v>
      </c>
      <c r="F17" s="6"/>
    </row>
    <row r="18" spans="2:7" x14ac:dyDescent="0.25">
      <c r="B18" t="s">
        <v>33</v>
      </c>
      <c r="C18" s="1">
        <v>48</v>
      </c>
      <c r="E18" s="1" t="s">
        <v>16</v>
      </c>
      <c r="F18" s="1" t="s">
        <v>17</v>
      </c>
      <c r="G18" s="1"/>
    </row>
    <row r="19" spans="2:7" x14ac:dyDescent="0.25">
      <c r="B19" t="s">
        <v>2</v>
      </c>
      <c r="C19" s="1">
        <v>80</v>
      </c>
      <c r="E19" s="1">
        <f>10</f>
        <v>10</v>
      </c>
      <c r="F19">
        <f>(50+31*20/2)</f>
        <v>360</v>
      </c>
    </row>
    <row r="20" spans="2:7" x14ac:dyDescent="0.25">
      <c r="B20" t="s">
        <v>11</v>
      </c>
      <c r="C20" s="1">
        <v>192</v>
      </c>
    </row>
    <row r="21" spans="2:7" x14ac:dyDescent="0.25">
      <c r="B21" t="s">
        <v>13</v>
      </c>
      <c r="C21" s="1">
        <v>64</v>
      </c>
    </row>
    <row r="22" spans="2:7" x14ac:dyDescent="0.25">
      <c r="B22" t="s">
        <v>12</v>
      </c>
      <c r="C22" s="1">
        <v>12000</v>
      </c>
    </row>
    <row r="23" spans="2:7" x14ac:dyDescent="0.25">
      <c r="B23" t="s">
        <v>29</v>
      </c>
      <c r="C23">
        <f>1472*8</f>
        <v>11776</v>
      </c>
      <c r="E23" s="1"/>
      <c r="G23" s="1"/>
    </row>
    <row r="24" spans="2:7" x14ac:dyDescent="0.25">
      <c r="B24" t="s">
        <v>28</v>
      </c>
      <c r="C24">
        <f>2*1460*8</f>
        <v>23360</v>
      </c>
      <c r="G24" s="1"/>
    </row>
    <row r="25" spans="2:7" x14ac:dyDescent="0.25">
      <c r="B25" t="s">
        <v>14</v>
      </c>
      <c r="C25" s="1">
        <v>320</v>
      </c>
    </row>
    <row r="26" spans="2:7" x14ac:dyDescent="0.25">
      <c r="B26" t="s">
        <v>3</v>
      </c>
      <c r="C26" s="1">
        <v>32</v>
      </c>
    </row>
    <row r="27" spans="2:7" x14ac:dyDescent="0.25">
      <c r="B27" t="s">
        <v>4</v>
      </c>
      <c r="C27" s="1">
        <v>6</v>
      </c>
    </row>
  </sheetData>
  <mergeCells count="10">
    <mergeCell ref="N4:O4"/>
    <mergeCell ref="G3:I3"/>
    <mergeCell ref="B4:C4"/>
    <mergeCell ref="E17:F17"/>
    <mergeCell ref="B5:C5"/>
    <mergeCell ref="F4:G4"/>
    <mergeCell ref="D4:E4"/>
    <mergeCell ref="H4:I4"/>
    <mergeCell ref="J4:K4"/>
    <mergeCell ref="L4:M4"/>
  </mergeCells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F928DB87A36B844B8C6091C5B3C3593" ma:contentTypeVersion="5" ma:contentTypeDescription="新しいドキュメントを作成します。" ma:contentTypeScope="" ma:versionID="aa2759071c454baea8dce9272a011a81">
  <xsd:schema xmlns:xsd="http://www.w3.org/2001/XMLSchema" xmlns:xs="http://www.w3.org/2001/XMLSchema" xmlns:p="http://schemas.microsoft.com/office/2006/metadata/properties" xmlns:ns3="d5442bfd-0d55-4214-8f29-e198153a82f4" targetNamespace="http://schemas.microsoft.com/office/2006/metadata/properties" ma:root="true" ma:fieldsID="869fdd821c34ccc6f03889fa9a3993f8" ns3:_="">
    <xsd:import namespace="d5442bfd-0d55-4214-8f29-e198153a82f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442bfd-0d55-4214-8f29-e198153a82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055287-4B26-4161-A2EC-7C2B6C18CDF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d5442bfd-0d55-4214-8f29-e198153a82f4"/>
  </ds:schemaRefs>
</ds:datastoreItem>
</file>

<file path=customXml/itemProps2.xml><?xml version="1.0" encoding="utf-8"?>
<ds:datastoreItem xmlns:ds="http://schemas.openxmlformats.org/officeDocument/2006/customXml" ds:itemID="{E30D5699-B2B5-4A6B-86BE-759F28FCDC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899CD2-625A-4000-9B0B-513FA99748B8}">
  <ds:schemaRefs>
    <ds:schemaRef ds:uri="http://schemas.microsoft.com/office/2006/metadata/properties"/>
    <ds:schemaRef ds:uri="http://www.w3.org/2000/xmln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802.11ag</vt:lpstr>
      <vt:lpstr>802.11b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中村優</dc:creator>
  <cp:lastModifiedBy>下沢 亮太郎</cp:lastModifiedBy>
  <dcterms:created xsi:type="dcterms:W3CDTF">2023-07-14T08:02:51Z</dcterms:created>
  <dcterms:modified xsi:type="dcterms:W3CDTF">2023-09-26T16:06:30Z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0x0101002F928DB87A36B844B8C6091C5B3C3593</vt:lpwstr>
  </property>
</Properties>
</file>